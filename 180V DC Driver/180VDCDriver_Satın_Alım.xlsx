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nes-\Desktop\MEM_R\180V DC Driver\"/>
    </mc:Choice>
  </mc:AlternateContent>
  <xr:revisionPtr revIDLastSave="0" documentId="13_ncr:1_{9C9FF8DB-7455-4077-B3F8-7FF5011B88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2" i="1"/>
  <c r="E3" i="1"/>
  <c r="E18" i="1" s="1"/>
  <c r="E4" i="1"/>
  <c r="E5" i="1"/>
  <c r="E6" i="1"/>
  <c r="E1" i="1"/>
</calcChain>
</file>

<file path=xl/sharedStrings.xml><?xml version="1.0" encoding="utf-8"?>
<sst xmlns="http://schemas.openxmlformats.org/spreadsheetml/2006/main" count="34" uniqueCount="34">
  <si>
    <t>Rectifier</t>
  </si>
  <si>
    <t>Capacitor Bulk</t>
  </si>
  <si>
    <t>Capacitor Film</t>
  </si>
  <si>
    <t>TLP250 optocoupler</t>
  </si>
  <si>
    <t>Sigorta tutacağı</t>
  </si>
  <si>
    <t>https://www.motorobit.com/mur1560g-15a-600v-to-220ac-mbr1560-hizli-diyot?srsltid=AfmBOoobdpunl5dEUTHk3Tt59qb1j6BE8zqNjsamVtwxlty6yG_6-DhY</t>
  </si>
  <si>
    <t>Diode flyback</t>
  </si>
  <si>
    <t>MOSFET</t>
  </si>
  <si>
    <t>https://www.motorobit.com/1000uf-400v-elektrolitik-kondansator-35x60mm?srsltid=AfmBOoqetNQ5iZG3gGWjhmJEcvIEY6K23yJGOCSIIAmTkfIhtfUocIMx4Po</t>
  </si>
  <si>
    <t>Power Connector</t>
  </si>
  <si>
    <t>https://www.ulutaselektronik.com/urun/kbpc5010w-1000v-50a-pcb-type-kopru-diyot</t>
  </si>
  <si>
    <t>https://www.ulutaselektronik.com/urun/tlp250-f-dip-8-transistor-output-optocoupler</t>
  </si>
  <si>
    <t>https://www.motorobit.com/6x30-kablolu-sigorta-yuvasi-siyah</t>
  </si>
  <si>
    <t>https://www.ulutaselektronik.com/urun/irfp460pbf-to-247-500v-20a-mosfet</t>
  </si>
  <si>
    <t>Termistör</t>
  </si>
  <si>
    <t>https://www.ulutaselektronik.com/urun/ntc-10d-2-power-ntc-termistor-ntc10d-20</t>
  </si>
  <si>
    <t>https://www.motorobit.com/xp126-5mm-2-pin-terminal-klemens-yesil</t>
  </si>
  <si>
    <t>https://www.motorobit.com/5-ila-5a-acs712-akim-sensoru</t>
  </si>
  <si>
    <t>Akım Sensörü</t>
  </si>
  <si>
    <t>https://www.motorobit.com/4a-6x30mm-gecikmeli-seramik-sigorta</t>
  </si>
  <si>
    <t>Sigorta</t>
  </si>
  <si>
    <t>Varistör</t>
  </si>
  <si>
    <t>https://www.motorobit.com/350vac-560vdc-10mm-varistor-10d561k</t>
  </si>
  <si>
    <t>https://www.motorobit.com/kf-03-pcb-tip-kapakli-sigorta-yuvasi-5x20-sigort</t>
  </si>
  <si>
    <t>Sigorta yuvası 12V için</t>
  </si>
  <si>
    <t>10Uf elektrolitik</t>
  </si>
  <si>
    <t>https://www.motorobit.com/220nf-50v-seramik-kondansator-10-adet</t>
  </si>
  <si>
    <t>220nf 50V *10</t>
  </si>
  <si>
    <t>https://www.motorobit.com/hlk-pm12-12v-3w-pcb-tipi-trafo-transformator</t>
  </si>
  <si>
    <t>12V 3W PCB Tipi Voltaj Dönüştürücü</t>
  </si>
  <si>
    <t>500mA sigorta</t>
  </si>
  <si>
    <t>https://www.motorobit.com/500ma-5x20mm-gecikmeli-cam-sigorta</t>
  </si>
  <si>
    <t>https://www.ulutaselektronik.com/urun/10uf-400v-105c-10x17-elektrolitik-aluminyum-kondansator</t>
  </si>
  <si>
    <t>https://www.ulutaselektronik.com/urun/1uf-450vac-rm-28mm-polyester-kondansator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</si>
</sst>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₺&quot;#,##0.00;[Red]\-&quot;₺&quot;#,##0.0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  <charset val="162"/>
    </font>
    <font>
      <sz val="11"/>
      <color theme="1"/>
      <name val="Segoe UI"/>
      <family val="2"/>
      <charset val="162"/>
    </font>
    <font>
      <b/>
      <sz val="23"/>
      <color theme="1"/>
      <name val="Segoe UI"/>
      <family val="2"/>
      <charset val="162"/>
    </font>
    <font>
      <b/>
      <sz val="12"/>
      <color rgb="FF3D84B5"/>
      <name val="Segoe UI"/>
      <family val="2"/>
      <charset val="162"/>
    </font>
    <font>
      <sz val="12"/>
      <color rgb="FF0C122A"/>
      <name val="Segoe U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8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torobit.com/xp126-5mm-2-pin-terminal-klemens-yesil" TargetMode="External"/><Relationship Id="rId13" Type="http://schemas.openxmlformats.org/officeDocument/2006/relationships/hyperlink" Target="https://www.ulutaselektronik.com/urun/irfp460pbf-to-247-500v-20a-mosfet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motorobit.com/mur1560g-15a-600v-to-220ac-mbr1560-hizli-diyot?srsltid=AfmBOoobdpunl5dEUTHk3Tt59qb1j6BE8zqNjsamVtwxlty6yG_6-DhY" TargetMode="External"/><Relationship Id="rId7" Type="http://schemas.openxmlformats.org/officeDocument/2006/relationships/hyperlink" Target="https://www.motorobit.com/5-ila-5a-acs712-akim-sensoru" TargetMode="External"/><Relationship Id="rId12" Type="http://schemas.openxmlformats.org/officeDocument/2006/relationships/hyperlink" Target="https://www.ulutaselektronik.com/urun/tlp250-f-dip-8-transistor-output-optocoupler" TargetMode="External"/><Relationship Id="rId17" Type="http://schemas.openxmlformats.org/officeDocument/2006/relationships/hyperlink" Target="https://www.motorobit.com/hlk-pm12-12v-3w-pcb-tipi-trafo-transformator" TargetMode="External"/><Relationship Id="rId2" Type="http://schemas.openxmlformats.org/officeDocument/2006/relationships/hyperlink" Target="https://www.ulutaselektronik.com/urun/1uf-450vac-rm-28mm-polyester-kondansator" TargetMode="External"/><Relationship Id="rId16" Type="http://schemas.openxmlformats.org/officeDocument/2006/relationships/hyperlink" Target="https://www.ulutaselektronik.com/urun/10uf-400v-105c-10x17-elektrolitik-aluminyum-kondansator" TargetMode="External"/><Relationship Id="rId1" Type="http://schemas.openxmlformats.org/officeDocument/2006/relationships/hyperlink" Target="https://www.ulutaselektronik.com/urun/kbpc5010w-1000v-50a-pcb-type-kopru-diyot" TargetMode="External"/><Relationship Id="rId6" Type="http://schemas.openxmlformats.org/officeDocument/2006/relationships/hyperlink" Target="https://www.ulutaselektronik.com/urun/ntc-10d-2-power-ntc-termistor-ntc10d-20" TargetMode="External"/><Relationship Id="rId11" Type="http://schemas.openxmlformats.org/officeDocument/2006/relationships/hyperlink" Target="https://www.motorobit.com/500ma-5x20mm-gecikmeli-cam-sigorta" TargetMode="External"/><Relationship Id="rId5" Type="http://schemas.openxmlformats.org/officeDocument/2006/relationships/hyperlink" Target="https://www.motorobit.com/6x30-kablolu-sigorta-yuvasi-siyah" TargetMode="External"/><Relationship Id="rId15" Type="http://schemas.openxmlformats.org/officeDocument/2006/relationships/hyperlink" Target="https://www.motorobit.com/kf-03-pcb-tip-kapakli-sigorta-yuvasi-5x20-sigort" TargetMode="External"/><Relationship Id="rId10" Type="http://schemas.openxmlformats.org/officeDocument/2006/relationships/hyperlink" Target="https://www.motorobit.com/220nf-50v-seramik-kondansator-10-adet" TargetMode="External"/><Relationship Id="rId4" Type="http://schemas.openxmlformats.org/officeDocument/2006/relationships/hyperlink" Target="https://www.motorobit.com/1000uf-400v-elektrolitik-kondansator-35x60mm?srsltid=AfmBOoqetNQ5iZG3gGWjhmJEcvIEY6K23yJGOCSIIAmTkfIhtfUocIMx4Po" TargetMode="External"/><Relationship Id="rId9" Type="http://schemas.openxmlformats.org/officeDocument/2006/relationships/hyperlink" Target="https://www.motorobit.com/4a-6x30mm-gecikmeli-seramik-sigorta" TargetMode="External"/><Relationship Id="rId14" Type="http://schemas.openxmlformats.org/officeDocument/2006/relationships/hyperlink" Target="https://www.motorobit.com/350vac-560vdc-10mm-varistor-10d561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zoomScale="115" zoomScaleNormal="115" workbookViewId="0">
      <selection activeCell="A17" sqref="A17"/>
    </sheetView>
  </sheetViews>
  <sheetFormatPr defaultRowHeight="15" x14ac:dyDescent="0.25"/>
  <cols>
    <col min="1" max="1" width="23.5703125" customWidth="1"/>
    <col min="2" max="2" width="65.85546875" customWidth="1"/>
    <col min="3" max="3" width="14.140625" customWidth="1"/>
    <col min="4" max="4" width="13" customWidth="1"/>
  </cols>
  <sheetData>
    <row r="1" spans="1:5" x14ac:dyDescent="0.25">
      <c r="A1" t="s">
        <v>0</v>
      </c>
      <c r="B1" s="1" t="s">
        <v>10</v>
      </c>
      <c r="C1" s="3">
        <v>76.44</v>
      </c>
      <c r="D1">
        <v>1</v>
      </c>
      <c r="E1">
        <f>C1*D1</f>
        <v>76.44</v>
      </c>
    </row>
    <row r="2" spans="1:5" x14ac:dyDescent="0.25">
      <c r="A2" t="s">
        <v>1</v>
      </c>
      <c r="B2" s="1" t="s">
        <v>8</v>
      </c>
      <c r="C2" s="2">
        <v>253.8</v>
      </c>
      <c r="D2">
        <v>2</v>
      </c>
      <c r="E2">
        <f t="shared" ref="E2:E17" si="0">C2*D2</f>
        <v>507.6</v>
      </c>
    </row>
    <row r="3" spans="1:5" x14ac:dyDescent="0.25">
      <c r="A3" t="s">
        <v>2</v>
      </c>
      <c r="B3" s="1" t="s">
        <v>33</v>
      </c>
      <c r="C3" s="8">
        <v>20.85</v>
      </c>
      <c r="D3">
        <v>2</v>
      </c>
      <c r="E3">
        <f t="shared" si="0"/>
        <v>41.7</v>
      </c>
    </row>
    <row r="4" spans="1:5" x14ac:dyDescent="0.25">
      <c r="A4" t="s">
        <v>3</v>
      </c>
      <c r="B4" s="1" t="s">
        <v>11</v>
      </c>
      <c r="C4" s="3">
        <v>66.709999999999994</v>
      </c>
      <c r="D4">
        <v>1</v>
      </c>
      <c r="E4">
        <f t="shared" si="0"/>
        <v>66.709999999999994</v>
      </c>
    </row>
    <row r="5" spans="1:5" ht="16.5" x14ac:dyDescent="0.3">
      <c r="A5" t="s">
        <v>4</v>
      </c>
      <c r="B5" s="1" t="s">
        <v>12</v>
      </c>
      <c r="C5" s="4">
        <v>9.02</v>
      </c>
      <c r="D5">
        <v>2</v>
      </c>
      <c r="E5">
        <f t="shared" si="0"/>
        <v>18.04</v>
      </c>
    </row>
    <row r="6" spans="1:5" x14ac:dyDescent="0.25">
      <c r="A6" t="s">
        <v>6</v>
      </c>
      <c r="B6" s="1" t="s">
        <v>5</v>
      </c>
      <c r="C6" s="2">
        <v>25.38</v>
      </c>
      <c r="D6">
        <v>2</v>
      </c>
      <c r="E6">
        <f t="shared" si="0"/>
        <v>50.76</v>
      </c>
    </row>
    <row r="7" spans="1:5" x14ac:dyDescent="0.25">
      <c r="A7" t="s">
        <v>7</v>
      </c>
      <c r="B7" s="1" t="s">
        <v>13</v>
      </c>
      <c r="C7" s="3">
        <v>183.46</v>
      </c>
      <c r="D7">
        <v>1</v>
      </c>
      <c r="E7">
        <f t="shared" si="0"/>
        <v>183.46</v>
      </c>
    </row>
    <row r="8" spans="1:5" x14ac:dyDescent="0.25">
      <c r="A8" t="s">
        <v>9</v>
      </c>
      <c r="B8" s="1" t="s">
        <v>16</v>
      </c>
      <c r="C8" s="2">
        <v>6.77</v>
      </c>
      <c r="D8">
        <v>3</v>
      </c>
      <c r="E8">
        <f t="shared" si="0"/>
        <v>20.309999999999999</v>
      </c>
    </row>
    <row r="9" spans="1:5" x14ac:dyDescent="0.25">
      <c r="A9" t="s">
        <v>14</v>
      </c>
      <c r="B9" s="1" t="s">
        <v>15</v>
      </c>
      <c r="C9" s="3">
        <v>32.11</v>
      </c>
      <c r="D9">
        <v>1</v>
      </c>
      <c r="E9">
        <f t="shared" si="0"/>
        <v>32.11</v>
      </c>
    </row>
    <row r="10" spans="1:5" ht="34.5" x14ac:dyDescent="0.6">
      <c r="A10" t="s">
        <v>18</v>
      </c>
      <c r="B10" s="1" t="s">
        <v>17</v>
      </c>
      <c r="C10" s="5">
        <v>98.7</v>
      </c>
      <c r="D10">
        <v>1</v>
      </c>
      <c r="E10">
        <f t="shared" si="0"/>
        <v>98.7</v>
      </c>
    </row>
    <row r="11" spans="1:5" ht="34.5" x14ac:dyDescent="0.6">
      <c r="A11" t="s">
        <v>20</v>
      </c>
      <c r="B11" s="1" t="s">
        <v>19</v>
      </c>
      <c r="C11" s="5">
        <v>10.15</v>
      </c>
      <c r="D11">
        <v>5</v>
      </c>
      <c r="E11">
        <f t="shared" si="0"/>
        <v>50.75</v>
      </c>
    </row>
    <row r="12" spans="1:5" x14ac:dyDescent="0.25">
      <c r="A12" t="s">
        <v>21</v>
      </c>
      <c r="B12" s="1" t="s">
        <v>22</v>
      </c>
      <c r="C12" s="2">
        <v>2.82</v>
      </c>
      <c r="D12">
        <v>1</v>
      </c>
      <c r="E12">
        <f t="shared" si="0"/>
        <v>2.82</v>
      </c>
    </row>
    <row r="13" spans="1:5" ht="17.25" x14ac:dyDescent="0.3">
      <c r="A13" t="s">
        <v>24</v>
      </c>
      <c r="B13" s="1" t="s">
        <v>23</v>
      </c>
      <c r="C13" s="7">
        <v>2.35</v>
      </c>
      <c r="D13">
        <v>1</v>
      </c>
      <c r="E13">
        <f t="shared" si="0"/>
        <v>2.35</v>
      </c>
    </row>
    <row r="14" spans="1:5" x14ac:dyDescent="0.25">
      <c r="A14" t="s">
        <v>25</v>
      </c>
      <c r="B14" s="1" t="s">
        <v>32</v>
      </c>
      <c r="C14" s="2">
        <v>7.41</v>
      </c>
      <c r="D14">
        <v>2</v>
      </c>
      <c r="E14">
        <f t="shared" si="0"/>
        <v>14.82</v>
      </c>
    </row>
    <row r="15" spans="1:5" ht="17.25" x14ac:dyDescent="0.3">
      <c r="A15" t="s">
        <v>27</v>
      </c>
      <c r="B15" s="1" t="s">
        <v>26</v>
      </c>
      <c r="C15" s="6">
        <v>15.23</v>
      </c>
      <c r="D15">
        <v>1</v>
      </c>
      <c r="E15">
        <f t="shared" si="0"/>
        <v>15.23</v>
      </c>
    </row>
    <row r="16" spans="1:5" ht="17.25" x14ac:dyDescent="0.3">
      <c r="A16" t="s">
        <v>29</v>
      </c>
      <c r="B16" s="1" t="s">
        <v>28</v>
      </c>
      <c r="C16" s="6">
        <v>219.96</v>
      </c>
      <c r="D16">
        <v>1</v>
      </c>
      <c r="E16">
        <f t="shared" si="0"/>
        <v>219.96</v>
      </c>
    </row>
    <row r="17" spans="1:5" ht="17.25" x14ac:dyDescent="0.3">
      <c r="A17" t="s">
        <v>30</v>
      </c>
      <c r="B17" s="1" t="s">
        <v>31</v>
      </c>
      <c r="C17" s="6">
        <v>3.38</v>
      </c>
      <c r="D17">
        <v>3</v>
      </c>
      <c r="E17">
        <f t="shared" si="0"/>
        <v>10.14</v>
      </c>
    </row>
    <row r="18" spans="1:5" x14ac:dyDescent="0.25">
      <c r="E18">
        <f>SUM(E1:E17)</f>
        <v>1411.8999999999999</v>
      </c>
    </row>
  </sheetData>
  <hyperlinks>
    <hyperlink ref="B1" r:id="rId1" xr:uid="{AF4C46A3-4E17-4E4B-A772-57710F9AB035}"/>
    <hyperlink ref="B3" r:id="rId2" xr:uid="{7A7EA5BA-8741-4FD4-99E5-455CAE360265}"/>
    <hyperlink ref="B6" r:id="rId3" xr:uid="{7A13A89D-E13E-41F9-81AD-7DEF2AB3E4DE}"/>
    <hyperlink ref="B2" r:id="rId4" xr:uid="{39BD885C-5ED3-4E5A-A586-8D2DEBF05ED8}"/>
    <hyperlink ref="B5" r:id="rId5" xr:uid="{9CCE00C7-B24A-4120-97D9-5AB3B477F6ED}"/>
    <hyperlink ref="B9" r:id="rId6" xr:uid="{FE9A88B6-CCAF-42DE-86CB-2DFD0E8F0998}"/>
    <hyperlink ref="B10" r:id="rId7" xr:uid="{0B44A90C-CC9A-4722-9F26-AF4BF0DD9A80}"/>
    <hyperlink ref="B8" r:id="rId8" xr:uid="{2B072CEF-4E60-4D76-B588-205C17D8D12E}"/>
    <hyperlink ref="B11" r:id="rId9" xr:uid="{A0EC3F28-3D59-4E9A-90DA-5AB3316B6641}"/>
    <hyperlink ref="B15" r:id="rId10" xr:uid="{9973D147-76E6-451C-AE92-2DA9B4313C7C}"/>
    <hyperlink ref="B17" r:id="rId11" xr:uid="{327DE21A-8F4D-4F57-B363-F62972914F79}"/>
    <hyperlink ref="B4" r:id="rId12" xr:uid="{E534FE1D-EE1E-47BA-9EAD-51ED6B96F5FC}"/>
    <hyperlink ref="B7" r:id="rId13" xr:uid="{5BDB2F13-72A1-4656-B7EC-03744587918C}"/>
    <hyperlink ref="B12" r:id="rId14" xr:uid="{D64FA521-4B59-49F8-88FC-4BE28F0D2188}"/>
    <hyperlink ref="B13" r:id="rId15" xr:uid="{FA954162-A31A-487E-895C-AF463DBAAFA6}"/>
    <hyperlink ref="B14" r:id="rId16" xr:uid="{77B05FAE-861B-48BB-A1DA-0B3F2CA7790C}"/>
    <hyperlink ref="B16" r:id="rId17" xr:uid="{C339418A-A0CA-45F7-9BAA-A4E505D45F55}"/>
  </hyperlinks>
  <pageMargins left="0.7" right="0.7" top="0.75" bottom="0.75" header="0.3" footer="0.3"/>
  <pageSetup paperSize="9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Enes-</dc:creator>
  <cp:lastModifiedBy>enes can çelebi</cp:lastModifiedBy>
  <dcterms:created xsi:type="dcterms:W3CDTF">2015-06-05T18:17:20Z</dcterms:created>
  <dcterms:modified xsi:type="dcterms:W3CDTF">2026-06-18T22:03:15Z</dcterms:modified>
</cp:coreProperties>
</file>